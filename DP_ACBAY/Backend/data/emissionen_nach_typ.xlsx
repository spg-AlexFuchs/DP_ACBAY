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3"/>
  </bookViews>
  <sheets>
    <sheet name="Pendelweg" sheetId="1" state="visible" r:id="rId1"/>
    <sheet name="Wärmeerzeugung" sheetId="2" state="visible" r:id="rId2"/>
    <sheet name="Urlaub" sheetId="3" state="visible" r:id="rId3"/>
    <sheet name="Konsum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<sst xmlns="http://schemas.openxmlformats.org/spreadsheetml/2006/main" count="138" uniqueCount="138">
  <si>
    <t xml:space="preserve">Mobilitätsart (2)</t>
  </si>
  <si>
    <t xml:space="preserve">Lebenszyklus Emission</t>
  </si>
  <si>
    <t>Einheit</t>
  </si>
  <si>
    <t>Quelle</t>
  </si>
  <si>
    <t xml:space="preserve">PKW Benzin</t>
  </si>
  <si>
    <t>g/km</t>
  </si>
  <si>
    <t xml:space="preserve">ICCT EU LCA 2025</t>
  </si>
  <si>
    <t xml:space="preserve">PKW Diesel</t>
  </si>
  <si>
    <t xml:space="preserve">Hybrid HEV</t>
  </si>
  <si>
    <t xml:space="preserve">PlugInHybrid PHEV</t>
  </si>
  <si>
    <t xml:space="preserve">Elektroauto BEV EU Strommix</t>
  </si>
  <si>
    <t xml:space="preserve">Elektroauto BEV Ökostrom</t>
  </si>
  <si>
    <t xml:space="preserve">Gas CNG</t>
  </si>
  <si>
    <t xml:space="preserve">Flüssiggas LPG</t>
  </si>
  <si>
    <t xml:space="preserve">BMIMI Ökobilanz AT</t>
  </si>
  <si>
    <t>*Schätzwert</t>
  </si>
  <si>
    <t xml:space="preserve">Wasserstoff FCEV</t>
  </si>
  <si>
    <t xml:space="preserve">*Durchschnitt eektrolyse</t>
  </si>
  <si>
    <t xml:space="preserve">ÖPNV Bus Diesel</t>
  </si>
  <si>
    <t>g/pkm</t>
  </si>
  <si>
    <t xml:space="preserve">Umweltbundesamt AT</t>
  </si>
  <si>
    <t xml:space="preserve">*Durchschnitt stat/überland</t>
  </si>
  <si>
    <t xml:space="preserve">ÖPNV Bus Elektro</t>
  </si>
  <si>
    <t xml:space="preserve">ÖPNV Bahn/Tram</t>
  </si>
  <si>
    <t xml:space="preserve">*meherere studien, wirkt richtiger</t>
  </si>
  <si>
    <t>Fahrrad</t>
  </si>
  <si>
    <t>OurWorldInData</t>
  </si>
  <si>
    <t xml:space="preserve">*mitte der angegebenen Spanne</t>
  </si>
  <si>
    <t xml:space="preserve">**skeptisch, da ebike niedirgere emissionen hat, daher selben wert gewählt welcher einer mitte entspricht</t>
  </si>
  <si>
    <t>E-Bike/E-Roller</t>
  </si>
  <si>
    <t xml:space="preserve">Zu Fuß</t>
  </si>
  <si>
    <t xml:space="preserve">Anderes Pendelfahrzeug</t>
  </si>
  <si>
    <t>Oft</t>
  </si>
  <si>
    <t>Selten</t>
  </si>
  <si>
    <t>Manchmal</t>
  </si>
  <si>
    <t>Nie</t>
  </si>
  <si>
    <t xml:space="preserve">Entfernung Arbeitsplatz</t>
  </si>
  <si>
    <t>&lt;10</t>
  </si>
  <si>
    <t>km</t>
  </si>
  <si>
    <t>Schätzwert</t>
  </si>
  <si>
    <t>10-20</t>
  </si>
  <si>
    <t>20-30</t>
  </si>
  <si>
    <t>40-50</t>
  </si>
  <si>
    <t>50-60</t>
  </si>
  <si>
    <t>&gt;60</t>
  </si>
  <si>
    <t xml:space="preserve">Tage im Büro</t>
  </si>
  <si>
    <t>Tage</t>
  </si>
  <si>
    <t xml:space="preserve">Geneuer Wert</t>
  </si>
  <si>
    <t>Formel:</t>
  </si>
  <si>
    <t xml:space="preserve">"Tage im Büro" * "Entfernung Arbeitsplatz" * ("Mobilitätsart" * (1 - "Anderes Pendelfahrzeug") + ("Anderes Pendelfahrzeug" * Mobilitätsart 2")</t>
  </si>
  <si>
    <t xml:space="preserve">Emissionsquelle / Parameter</t>
  </si>
  <si>
    <t>CO2-Emissionen</t>
  </si>
  <si>
    <t xml:space="preserve">Heizöl extra leicht</t>
  </si>
  <si>
    <t xml:space="preserve">g CO2-eq/kWh</t>
  </si>
  <si>
    <t xml:space="preserve">UBA Österreich 2025</t>
  </si>
  <si>
    <t xml:space="preserve">*Durchschnitt extra leicht und leicht</t>
  </si>
  <si>
    <t xml:space="preserve">Erdgas (Brennwert)</t>
  </si>
  <si>
    <t xml:space="preserve">Flüssiggas (LPG)</t>
  </si>
  <si>
    <t xml:space="preserve">Biomasse Pellets</t>
  </si>
  <si>
    <t xml:space="preserve">Biomasse Stückholz</t>
  </si>
  <si>
    <t xml:space="preserve">Fernwärme Ø Österreich</t>
  </si>
  <si>
    <t xml:space="preserve">Fernwärme erneuerbar</t>
  </si>
  <si>
    <t xml:space="preserve">Wärmepumpe (EU-Strommix, JAZ 3)</t>
  </si>
  <si>
    <t xml:space="preserve">g CO2-eq/kWh Wärme</t>
  </si>
  <si>
    <t xml:space="preserve">UBA Österreich / EWO Austria</t>
  </si>
  <si>
    <t xml:space="preserve">*daten unpassend</t>
  </si>
  <si>
    <t>Solarthermie</t>
  </si>
  <si>
    <t xml:space="preserve">Strom Ö-Mix</t>
  </si>
  <si>
    <t xml:space="preserve">g CO2/kWh Strom</t>
  </si>
  <si>
    <t>Ökostrom</t>
  </si>
  <si>
    <t>0-50</t>
  </si>
  <si>
    <t xml:space="preserve">abhängig vom Zertifikat</t>
  </si>
  <si>
    <t xml:space="preserve">Warmwasserverbrauch pro Person</t>
  </si>
  <si>
    <t>Liter/Jahr</t>
  </si>
  <si>
    <t xml:space="preserve">Umweltberatung Österreich</t>
  </si>
  <si>
    <t xml:space="preserve">mit heizen???</t>
  </si>
  <si>
    <t xml:space="preserve">Energiebedarf Warmwasser</t>
  </si>
  <si>
    <t>kWh/Jahr/Person</t>
  </si>
  <si>
    <t xml:space="preserve">Durchschnitt Wasserverbrauch</t>
  </si>
  <si>
    <t>Liter/Tag/Person</t>
  </si>
  <si>
    <t xml:space="preserve">BMLUK Österreich</t>
  </si>
  <si>
    <t xml:space="preserve">was dabei??</t>
  </si>
  <si>
    <t>Benötigt:</t>
  </si>
  <si>
    <t xml:space="preserve">Energieverbauch durschnitt österreich/person heizen</t>
  </si>
  <si>
    <t>kwh/jahr</t>
  </si>
  <si>
    <t>???</t>
  </si>
  <si>
    <t xml:space="preserve">Stromverbrauch österreich/person</t>
  </si>
  <si>
    <t xml:space="preserve">Flugreisen Kurzstrecke (&lt;1500 km)</t>
  </si>
  <si>
    <t xml:space="preserve">g CO2 pro Flug (Hin &amp; Rück)</t>
  </si>
  <si>
    <t xml:space="preserve">co2news.sk / atmosfair.de</t>
  </si>
  <si>
    <t>*1</t>
  </si>
  <si>
    <t xml:space="preserve">Flugreisen Mittelstrecke (1500–3500 km)</t>
  </si>
  <si>
    <t xml:space="preserve">Flugreisen Langstrecke (&gt;3500 km)</t>
  </si>
  <si>
    <t xml:space="preserve">Flüge pro jahr</t>
  </si>
  <si>
    <t>1-2</t>
  </si>
  <si>
    <t>2-5</t>
  </si>
  <si>
    <t>5-10</t>
  </si>
  <si>
    <t>Flugemissionen</t>
  </si>
  <si>
    <t>Kurzstrecke</t>
  </si>
  <si>
    <t xml:space="preserve">*unpassendere wert, in zukunft zu ersetzen</t>
  </si>
  <si>
    <t>Mittelstrecke</t>
  </si>
  <si>
    <t>Langstrecke</t>
  </si>
  <si>
    <t xml:space="preserve">Entfernungen flüge</t>
  </si>
  <si>
    <t xml:space="preserve">Kurzstrecke &lt;1500km</t>
  </si>
  <si>
    <t>*Schätzung</t>
  </si>
  <si>
    <t xml:space="preserve">Mittelstrekcke 1500-3500km</t>
  </si>
  <si>
    <t xml:space="preserve">Langstrecke &gt;3500km</t>
  </si>
  <si>
    <t>Kategorie</t>
  </si>
  <si>
    <t>Basiswert_t_CO2e</t>
  </si>
  <si>
    <t>Max_Reduktion_t_CO2e</t>
  </si>
  <si>
    <t xml:space="preserve">Gesamtbasis (Ernährung + Konsumgüter + Alltagsmobilität)</t>
  </si>
  <si>
    <t xml:space="preserve">t CO2e/Jahr</t>
  </si>
  <si>
    <t xml:space="preserve">JRC Consumer Footprint + Eurostat</t>
  </si>
  <si>
    <t xml:space="preserve">Durchschnittswerge ergänzen:</t>
  </si>
  <si>
    <t>Ernährung</t>
  </si>
  <si>
    <t xml:space="preserve">JRC Consumer Footprint</t>
  </si>
  <si>
    <t>Konsumgüter</t>
  </si>
  <si>
    <t xml:space="preserve">Alltagsmobilität (ohne Pendeln)</t>
  </si>
  <si>
    <t xml:space="preserve">JRC + Eurostat</t>
  </si>
  <si>
    <t xml:space="preserve">BAsierend auf angaben - Wertänderung (+/-)</t>
  </si>
  <si>
    <t xml:space="preserve">Nachhaltige Kleidung – immer</t>
  </si>
  <si>
    <t xml:space="preserve">JRC Anteil Textilien</t>
  </si>
  <si>
    <t xml:space="preserve">Nachhaltige Kleidung – manchmal</t>
  </si>
  <si>
    <t xml:space="preserve">Regionaler Einkauf – oft</t>
  </si>
  <si>
    <t xml:space="preserve">JRC Ernährung Transportanteil</t>
  </si>
  <si>
    <t xml:space="preserve">Regionaler Einkauf – manchmal</t>
  </si>
  <si>
    <t xml:space="preserve">Verzicht auf Onlinekauf – oft</t>
  </si>
  <si>
    <t xml:space="preserve">JRC Konsumgüter Logistikanteil</t>
  </si>
  <si>
    <t xml:space="preserve">Verzicht auf Onlinekauf – manchmal</t>
  </si>
  <si>
    <t xml:space="preserve">Umweltfreundlicher Transport beim Einkauf – Ja</t>
  </si>
  <si>
    <t xml:space="preserve">JRC Mobilitätsanteil</t>
  </si>
  <si>
    <t xml:space="preserve">Umweltfreundlicher Transport beim Einkauf – Manchmal</t>
  </si>
  <si>
    <t xml:space="preserve">Energiesparende Geräte – alle (Herstellung)</t>
  </si>
  <si>
    <t xml:space="preserve">JRC Geräteanteil</t>
  </si>
  <si>
    <t xml:space="preserve">Smarte Geräte – Ja (Herstellung)</t>
  </si>
  <si>
    <t xml:space="preserve">Feuerwerk &gt;1/Jahr</t>
  </si>
  <si>
    <t xml:space="preserve">LCA Literatur</t>
  </si>
  <si>
    <t xml:space="preserve">Feuerwerk 1/Jahr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</si>
</sst>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sz val="11.000000"/>
      <color indexed="64"/>
      <name val="Calibri"/>
    </font>
    <font>
      <b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0" borderId="1" numFmtId="0" xfId="0" applyFont="1" applyBorder="1" applyAlignment="1">
      <alignment horizontal="center" vertical="top" wrapText="1"/>
    </xf>
    <xf fontId="0" fillId="0" borderId="0" numFmtId="0" xfId="0" applyAlignment="1">
      <alignment wrapText="1"/>
      <protection hidden="0" locked="1"/>
    </xf>
    <xf fontId="0" fillId="0" borderId="0" numFmtId="0" xfId="0" applyAlignment="1">
      <alignment horizontal="center"/>
    </xf>
    <xf fontId="0" fillId="0" borderId="0" numFmtId="49" xfId="0" applyNumberFormat="1"/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horizontal="left" vertical="top" wrapText="1"/>
    </xf>
    <xf fontId="1" fillId="0" borderId="0" numFmtId="0" xfId="0" applyFont="1">
      <protection hidden="0" locked="1"/>
    </xf>
    <xf fontId="0" fillId="2" borderId="0" numFmtId="0" xfId="0" applyFill="1">
      <protection hidden="0" locked="1"/>
    </xf>
    <xf fontId="0" fillId="0" borderId="0" numFmtId="0" xfId="0" applyAlignment="1">
      <alignment horizontal="right"/>
      <protection hidden="0" locked="1"/>
    </xf>
    <xf fontId="0" fillId="2" borderId="0" numFmtId="0" xfId="0" applyFill="1" applyAlignment="1">
      <alignment horizontal="right"/>
      <protection hidden="0" locked="1"/>
    </xf>
    <xf fontId="0" fillId="2" borderId="0" numFmtId="0" xfId="0" applyFill="1"/>
    <xf fontId="0" fillId="0" borderId="0" numFmtId="0" xfId="0" applyAlignment="1">
      <alignment readingOrder="0" wrapText="1"/>
      <protection hidden="0" locked="1"/>
    </xf>
    <xf fontId="2" fillId="0" borderId="0" numFmtId="0" xfId="0" applyFont="1" applyAlignment="1">
      <alignment horizontal="left"/>
      <protection hidden="0" locked="1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right"/>
      <protection hidden="0" locked="1"/>
    </xf>
    <xf fontId="0" fillId="0" borderId="0" numFmtId="0" xfId="0" applyAlignment="1">
      <alignment horizontal="left"/>
      <protection hidden="0" locked="1"/>
    </xf>
    <xf fontId="3" fillId="0" borderId="0" numFmtId="0" xfId="0" applyFont="1" applyAlignment="1">
      <alignment horizontal="left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6.33203125"/>
    <col bestFit="1" customWidth="1" min="2" max="2" width="25.47265625"/>
    <col bestFit="1" customWidth="1" min="3" max="3" width="8.5234375"/>
    <col bestFit="1" customWidth="1" min="4" max="4" width="20.140625"/>
    <col bestFit="1" min="5" max="5" width="22.23046875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</row>
    <row r="2" ht="30">
      <c r="A2" s="2" t="s">
        <v>4</v>
      </c>
      <c r="B2" s="2">
        <v>235</v>
      </c>
      <c r="C2" s="2" t="s">
        <v>5</v>
      </c>
      <c r="D2" s="2" t="s">
        <v>6</v>
      </c>
    </row>
    <row r="3" ht="15">
      <c r="A3" s="2" t="s">
        <v>7</v>
      </c>
      <c r="B3" s="2">
        <v>234</v>
      </c>
      <c r="C3" s="2" t="s">
        <v>5</v>
      </c>
      <c r="D3" s="2" t="s">
        <v>6</v>
      </c>
    </row>
    <row r="4" ht="14.25">
      <c r="A4" s="2" t="s">
        <v>8</v>
      </c>
      <c r="B4" s="2">
        <v>188</v>
      </c>
      <c r="C4" s="2" t="s">
        <v>5</v>
      </c>
      <c r="D4" s="2" t="s">
        <v>6</v>
      </c>
    </row>
    <row r="5" ht="30">
      <c r="A5" s="2" t="s">
        <v>9</v>
      </c>
      <c r="B5" s="2">
        <v>163</v>
      </c>
      <c r="C5" s="2" t="s">
        <v>5</v>
      </c>
      <c r="D5" s="2" t="s">
        <v>6</v>
      </c>
    </row>
    <row r="6" ht="15">
      <c r="A6" s="2" t="s">
        <v>10</v>
      </c>
      <c r="B6" s="2">
        <v>63</v>
      </c>
      <c r="C6" s="2" t="s">
        <v>5</v>
      </c>
      <c r="D6" s="2" t="s">
        <v>6</v>
      </c>
    </row>
    <row r="7" ht="15">
      <c r="A7" s="2" t="s">
        <v>11</v>
      </c>
      <c r="B7" s="2">
        <v>52</v>
      </c>
      <c r="C7" s="2" t="s">
        <v>5</v>
      </c>
      <c r="D7" s="2" t="s">
        <v>6</v>
      </c>
    </row>
    <row r="8" ht="30">
      <c r="A8" s="2" t="s">
        <v>12</v>
      </c>
      <c r="B8" s="2">
        <v>203</v>
      </c>
      <c r="C8" s="2" t="s">
        <v>5</v>
      </c>
      <c r="D8" s="2" t="s">
        <v>6</v>
      </c>
    </row>
    <row r="9" ht="30">
      <c r="A9" s="2" t="s">
        <v>13</v>
      </c>
      <c r="B9" s="2">
        <v>210</v>
      </c>
      <c r="C9" s="2" t="s">
        <v>5</v>
      </c>
      <c r="D9" s="2" t="s">
        <v>14</v>
      </c>
      <c r="E9" t="s">
        <v>15</v>
      </c>
    </row>
    <row r="10" ht="15">
      <c r="A10" s="2" t="s">
        <v>16</v>
      </c>
      <c r="B10" s="2">
        <v>100</v>
      </c>
      <c r="C10" s="2" t="s">
        <v>5</v>
      </c>
      <c r="D10" s="2" t="s">
        <v>14</v>
      </c>
      <c r="E10" t="s">
        <v>17</v>
      </c>
    </row>
    <row r="11" ht="15">
      <c r="A11" s="2" t="s">
        <v>18</v>
      </c>
      <c r="B11" s="2">
        <v>55</v>
      </c>
      <c r="C11" s="2" t="s">
        <v>19</v>
      </c>
      <c r="D11" s="2" t="s">
        <v>20</v>
      </c>
      <c r="E11" t="s">
        <v>21</v>
      </c>
    </row>
    <row r="12" ht="15">
      <c r="A12" s="2" t="s">
        <v>22</v>
      </c>
      <c r="B12" s="2">
        <v>25</v>
      </c>
      <c r="C12" s="2" t="s">
        <v>19</v>
      </c>
      <c r="D12" s="2" t="s">
        <v>20</v>
      </c>
    </row>
    <row r="13" ht="45">
      <c r="A13" s="2" t="s">
        <v>23</v>
      </c>
      <c r="B13" s="2">
        <v>10</v>
      </c>
      <c r="C13" s="2" t="s">
        <v>19</v>
      </c>
      <c r="D13" s="2" t="s">
        <v>20</v>
      </c>
      <c r="E13" t="s">
        <v>24</v>
      </c>
    </row>
    <row r="14" ht="15">
      <c r="A14" s="2" t="s">
        <v>25</v>
      </c>
      <c r="B14" s="2">
        <v>20</v>
      </c>
      <c r="C14" s="2" t="s">
        <v>19</v>
      </c>
      <c r="D14" s="2" t="s">
        <v>26</v>
      </c>
      <c r="E14" t="s">
        <v>27</v>
      </c>
      <c r="F14" s="3" t="s">
        <v>28</v>
      </c>
    </row>
    <row r="15" ht="15">
      <c r="A15" s="2" t="s">
        <v>29</v>
      </c>
      <c r="B15" s="2">
        <v>20</v>
      </c>
      <c r="C15" s="2" t="s">
        <v>19</v>
      </c>
      <c r="D15" s="2" t="s">
        <v>26</v>
      </c>
      <c r="F15" s="3"/>
    </row>
    <row r="16" ht="30">
      <c r="A16" s="2" t="s">
        <v>30</v>
      </c>
      <c r="B16" s="2">
        <v>5</v>
      </c>
      <c r="C16" s="2" t="s">
        <v>19</v>
      </c>
      <c r="D16" s="2" t="s">
        <v>26</v>
      </c>
    </row>
    <row r="17" ht="30">
      <c r="A17" s="2"/>
      <c r="B17" s="2"/>
      <c r="C17" s="2"/>
      <c r="D17" s="2"/>
    </row>
    <row r="18" ht="30">
      <c r="A18" s="2"/>
      <c r="B18" s="2"/>
      <c r="C18" s="2"/>
      <c r="D18" s="2"/>
    </row>
    <row r="19" ht="30">
      <c r="A19" s="2" t="s">
        <v>31</v>
      </c>
      <c r="B19" s="2"/>
      <c r="C19" s="2"/>
      <c r="D19" s="2"/>
    </row>
    <row r="20" ht="30">
      <c r="A20" s="2" t="s">
        <v>32</v>
      </c>
      <c r="B20" s="2">
        <f>1/3</f>
        <v>0.33333333333333331</v>
      </c>
      <c r="C20" s="2"/>
      <c r="D20" s="2"/>
    </row>
    <row r="21" ht="30">
      <c r="A21" s="2" t="s">
        <v>33</v>
      </c>
      <c r="B21" s="2">
        <f>1/10</f>
        <v>0.10000000000000001</v>
      </c>
      <c r="C21" s="2"/>
      <c r="D21" s="2"/>
    </row>
    <row r="22" ht="30">
      <c r="A22" s="2" t="s">
        <v>34</v>
      </c>
      <c r="B22" s="2">
        <f>1/30</f>
        <v>3.3333333333333333e-002</v>
      </c>
      <c r="C22" s="2"/>
      <c r="D22" s="2"/>
    </row>
    <row r="23" ht="30">
      <c r="A23" s="2" t="s">
        <v>35</v>
      </c>
      <c r="B23" s="2">
        <v>0</v>
      </c>
      <c r="C23" s="2"/>
      <c r="D23" s="2"/>
    </row>
    <row r="24" ht="30"/>
    <row r="25" ht="15"/>
    <row r="26" ht="45">
      <c r="A26" t="s">
        <v>36</v>
      </c>
    </row>
    <row r="27" ht="15">
      <c r="A27" s="4" t="s">
        <v>37</v>
      </c>
      <c r="B27">
        <v>5</v>
      </c>
      <c r="C27" t="s">
        <v>38</v>
      </c>
      <c r="D27" t="s">
        <v>39</v>
      </c>
    </row>
    <row r="28" ht="15">
      <c r="A28" s="4" t="s">
        <v>40</v>
      </c>
      <c r="B28">
        <v>15</v>
      </c>
      <c r="C28" t="s">
        <v>38</v>
      </c>
      <c r="D28" s="5" t="s">
        <v>39</v>
      </c>
    </row>
    <row r="29" ht="45">
      <c r="A29" s="4" t="s">
        <v>41</v>
      </c>
      <c r="B29">
        <v>25</v>
      </c>
      <c r="C29" t="s">
        <v>38</v>
      </c>
      <c r="D29" s="5" t="s">
        <v>39</v>
      </c>
    </row>
    <row r="30" ht="15">
      <c r="A30" t="s">
        <v>42</v>
      </c>
      <c r="B30">
        <v>45</v>
      </c>
      <c r="C30" t="s">
        <v>38</v>
      </c>
      <c r="D30" s="5" t="s">
        <v>39</v>
      </c>
    </row>
    <row r="31" ht="15">
      <c r="A31" t="s">
        <v>43</v>
      </c>
      <c r="B31">
        <v>55</v>
      </c>
      <c r="C31" t="s">
        <v>38</v>
      </c>
      <c r="D31" s="5" t="s">
        <v>39</v>
      </c>
    </row>
    <row r="32" ht="30">
      <c r="A32" t="s">
        <v>44</v>
      </c>
      <c r="B32">
        <v>80</v>
      </c>
      <c r="C32" t="s">
        <v>38</v>
      </c>
      <c r="D32" s="5" t="s">
        <v>39</v>
      </c>
    </row>
    <row r="33" ht="15"/>
    <row r="34" ht="15"/>
    <row r="35" ht="30">
      <c r="A35" t="s">
        <v>45</v>
      </c>
    </row>
    <row r="36" ht="14.25">
      <c r="A36">
        <v>0</v>
      </c>
      <c r="B36" s="6">
        <v>0</v>
      </c>
      <c r="C36" t="s">
        <v>46</v>
      </c>
      <c r="D36" t="s">
        <v>47</v>
      </c>
    </row>
    <row r="37" ht="14.25">
      <c r="A37">
        <v>1</v>
      </c>
      <c r="B37" s="6">
        <v>1</v>
      </c>
      <c r="C37" s="5" t="s">
        <v>46</v>
      </c>
      <c r="D37" s="5" t="s">
        <v>47</v>
      </c>
    </row>
    <row r="38" ht="14.25">
      <c r="A38">
        <v>2</v>
      </c>
      <c r="B38" s="6">
        <v>2</v>
      </c>
      <c r="C38" s="5" t="s">
        <v>46</v>
      </c>
      <c r="D38" s="5" t="s">
        <v>47</v>
      </c>
    </row>
    <row r="39" ht="14.25">
      <c r="A39">
        <v>3</v>
      </c>
      <c r="B39" s="6">
        <v>3</v>
      </c>
      <c r="C39" s="5" t="s">
        <v>46</v>
      </c>
      <c r="D39" s="5" t="s">
        <v>47</v>
      </c>
    </row>
    <row r="40" ht="14.25">
      <c r="A40">
        <v>4</v>
      </c>
      <c r="B40" s="6">
        <v>4</v>
      </c>
      <c r="C40" s="5" t="s">
        <v>46</v>
      </c>
      <c r="D40" s="5" t="s">
        <v>47</v>
      </c>
    </row>
    <row r="41" ht="14.25">
      <c r="A41">
        <v>5</v>
      </c>
      <c r="B41" s="6">
        <v>5</v>
      </c>
      <c r="C41" s="5" t="s">
        <v>46</v>
      </c>
      <c r="D41" s="5" t="s">
        <v>47</v>
      </c>
    </row>
    <row r="45" ht="14.25">
      <c r="A45" t="s">
        <v>48</v>
      </c>
      <c r="B45" s="7" t="s">
        <v>49</v>
      </c>
      <c r="C45" s="7"/>
      <c r="D45" s="7"/>
    </row>
    <row r="46" ht="14.25">
      <c r="B46" s="7"/>
      <c r="C46" s="7"/>
      <c r="D46" s="7"/>
    </row>
    <row r="47" ht="14.25">
      <c r="B47" s="7"/>
      <c r="C47" s="7"/>
      <c r="D47" s="7"/>
    </row>
    <row r="48" ht="14.25">
      <c r="B48" s="7"/>
      <c r="C48" s="7"/>
      <c r="D48" s="7"/>
    </row>
  </sheetData>
  <mergeCells count="2">
    <mergeCell ref="F14:F15"/>
    <mergeCell ref="B45:D4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46.90234375"/>
    <col bestFit="1" customWidth="1" min="2" max="2" width="18.7109375"/>
    <col bestFit="1" min="3" max="3" width="20.33203125"/>
    <col bestFit="1" min="4" max="4" width="26.7109375"/>
  </cols>
  <sheetData>
    <row r="1" ht="18.75">
      <c r="A1" s="8" t="s">
        <v>50</v>
      </c>
      <c r="B1" s="8" t="s">
        <v>51</v>
      </c>
      <c r="C1" s="8" t="s">
        <v>2</v>
      </c>
      <c r="D1" s="8" t="s">
        <v>3</v>
      </c>
    </row>
    <row r="2" ht="14.25">
      <c r="A2" s="6" t="s">
        <v>52</v>
      </c>
      <c r="B2" s="6">
        <v>345</v>
      </c>
      <c r="C2" s="6" t="s">
        <v>53</v>
      </c>
      <c r="D2" s="6" t="s">
        <v>54</v>
      </c>
      <c r="E2" t="s">
        <v>55</v>
      </c>
    </row>
    <row r="3" ht="14.25">
      <c r="A3" s="6" t="s">
        <v>56</v>
      </c>
      <c r="B3" s="6">
        <v>225</v>
      </c>
      <c r="C3" s="6" t="s">
        <v>53</v>
      </c>
      <c r="D3" s="6" t="s">
        <v>54</v>
      </c>
    </row>
    <row r="4" ht="14.25">
      <c r="A4" s="6" t="s">
        <v>57</v>
      </c>
      <c r="B4" s="6">
        <v>313</v>
      </c>
      <c r="C4" s="6" t="s">
        <v>53</v>
      </c>
      <c r="D4" s="6" t="s">
        <v>54</v>
      </c>
    </row>
    <row r="5" ht="14.25">
      <c r="A5" s="6" t="s">
        <v>58</v>
      </c>
      <c r="B5" s="6">
        <v>26</v>
      </c>
      <c r="C5" s="6" t="s">
        <v>53</v>
      </c>
      <c r="D5" s="6" t="s">
        <v>54</v>
      </c>
    </row>
    <row r="6" ht="14.25">
      <c r="A6" s="6" t="s">
        <v>59</v>
      </c>
      <c r="B6" s="6">
        <v>25</v>
      </c>
      <c r="C6" s="6" t="s">
        <v>53</v>
      </c>
      <c r="D6" s="6" t="s">
        <v>54</v>
      </c>
    </row>
    <row r="7" ht="14.25">
      <c r="A7" s="6" t="s">
        <v>60</v>
      </c>
      <c r="B7" s="6">
        <v>172</v>
      </c>
      <c r="C7" s="6" t="s">
        <v>53</v>
      </c>
      <c r="D7" s="6" t="s">
        <v>54</v>
      </c>
    </row>
    <row r="8" ht="14.25">
      <c r="A8" s="6" t="s">
        <v>61</v>
      </c>
      <c r="B8" s="6">
        <v>42</v>
      </c>
      <c r="C8" s="6" t="s">
        <v>53</v>
      </c>
      <c r="D8" s="6" t="s">
        <v>54</v>
      </c>
    </row>
    <row r="9" ht="14.25">
      <c r="A9" s="9" t="s">
        <v>62</v>
      </c>
      <c r="B9" s="9">
        <v>138</v>
      </c>
      <c r="C9" s="9" t="s">
        <v>63</v>
      </c>
      <c r="D9" s="9" t="s">
        <v>64</v>
      </c>
      <c r="E9" t="s">
        <v>65</v>
      </c>
    </row>
    <row r="10" ht="14.25">
      <c r="A10" s="6" t="s">
        <v>66</v>
      </c>
      <c r="B10" s="6">
        <v>25</v>
      </c>
      <c r="C10" s="6" t="s">
        <v>63</v>
      </c>
      <c r="D10" s="6" t="s">
        <v>54</v>
      </c>
    </row>
    <row r="11" ht="14.25">
      <c r="A11" s="6"/>
      <c r="B11" s="6"/>
      <c r="C11" s="6"/>
      <c r="D11" s="6"/>
    </row>
    <row r="12" ht="14.25">
      <c r="A12" s="6" t="s">
        <v>67</v>
      </c>
      <c r="B12" s="10">
        <v>209</v>
      </c>
      <c r="C12" s="6" t="s">
        <v>68</v>
      </c>
      <c r="D12" s="6" t="s">
        <v>54</v>
      </c>
    </row>
    <row r="13" ht="14.25">
      <c r="A13" s="9" t="s">
        <v>69</v>
      </c>
      <c r="B13" s="11" t="s">
        <v>70</v>
      </c>
      <c r="C13" s="9" t="s">
        <v>68</v>
      </c>
      <c r="D13" s="9" t="s">
        <v>71</v>
      </c>
    </row>
    <row r="15" ht="14.25">
      <c r="A15" s="9" t="s">
        <v>72</v>
      </c>
      <c r="B15" s="9">
        <v>18000</v>
      </c>
      <c r="C15" s="9" t="s">
        <v>73</v>
      </c>
      <c r="D15" s="9" t="s">
        <v>74</v>
      </c>
      <c r="E15" t="s">
        <v>75</v>
      </c>
    </row>
    <row r="16" ht="14.25">
      <c r="A16" s="9" t="s">
        <v>76</v>
      </c>
      <c r="B16" s="9">
        <v>1000</v>
      </c>
      <c r="C16" s="9" t="s">
        <v>77</v>
      </c>
      <c r="D16" s="9" t="s">
        <v>74</v>
      </c>
    </row>
    <row r="17" ht="14.25">
      <c r="A17" s="9" t="s">
        <v>78</v>
      </c>
      <c r="B17" s="9">
        <v>130</v>
      </c>
      <c r="C17" s="9" t="s">
        <v>79</v>
      </c>
      <c r="D17" s="9" t="s">
        <v>80</v>
      </c>
      <c r="E17" t="s">
        <v>81</v>
      </c>
    </row>
    <row r="19" ht="14.25">
      <c r="A19" t="s">
        <v>82</v>
      </c>
    </row>
    <row r="20" ht="14.25">
      <c r="A20" s="12" t="s">
        <v>83</v>
      </c>
      <c r="B20" s="12">
        <v>6912</v>
      </c>
      <c r="C20" s="12" t="s">
        <v>84</v>
      </c>
      <c r="D20" s="12" t="s">
        <v>85</v>
      </c>
    </row>
    <row r="21" ht="14.25">
      <c r="A21" s="12" t="s">
        <v>86</v>
      </c>
      <c r="B21" s="12">
        <v>1741</v>
      </c>
      <c r="C21" s="12" t="s">
        <v>84</v>
      </c>
      <c r="D21" s="1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5.76171875"/>
    <col customWidth="1" min="2" max="2" width="34.8515625"/>
    <col customWidth="1" min="3" max="3" width="30.140625"/>
    <col customWidth="1" min="4" max="4" width="24.8515625"/>
  </cols>
  <sheetData>
    <row r="1" ht="18.75">
      <c r="A1" s="1" t="s">
        <v>0</v>
      </c>
      <c r="B1" s="1" t="s">
        <v>1</v>
      </c>
      <c r="C1" s="1" t="s">
        <v>2</v>
      </c>
      <c r="D1" s="1" t="s">
        <v>3</v>
      </c>
    </row>
    <row r="2" ht="14">
      <c r="A2" s="2" t="s">
        <v>87</v>
      </c>
      <c r="B2" s="2">
        <f t="shared" ref="B2:B4" si="0">B16*B22*2</f>
        <v>225000</v>
      </c>
      <c r="C2" s="2" t="s">
        <v>88</v>
      </c>
      <c r="D2" s="13" t="s">
        <v>89</v>
      </c>
      <c r="F2" t="s">
        <v>90</v>
      </c>
    </row>
    <row r="3" ht="14.25">
      <c r="A3" s="6" t="s">
        <v>91</v>
      </c>
      <c r="B3" s="2">
        <f t="shared" si="0"/>
        <v>750000</v>
      </c>
      <c r="C3" s="6" t="s">
        <v>88</v>
      </c>
      <c r="D3" s="6" t="s">
        <v>89</v>
      </c>
    </row>
    <row r="4" ht="14.25">
      <c r="A4" s="6" t="s">
        <v>92</v>
      </c>
      <c r="B4" s="2">
        <f t="shared" si="0"/>
        <v>1500000</v>
      </c>
      <c r="C4" s="6" t="s">
        <v>88</v>
      </c>
      <c r="D4" s="6" t="s">
        <v>89</v>
      </c>
    </row>
    <row r="8" ht="14.25">
      <c r="A8" t="s">
        <v>93</v>
      </c>
    </row>
    <row r="9" ht="14.25">
      <c r="A9" s="4">
        <v>0</v>
      </c>
      <c r="B9">
        <v>0</v>
      </c>
    </row>
    <row r="10" ht="14.25">
      <c r="A10" s="4" t="s">
        <v>94</v>
      </c>
      <c r="B10">
        <v>1.8999999999999999</v>
      </c>
    </row>
    <row r="11" ht="14.25">
      <c r="A11" s="4" t="s">
        <v>95</v>
      </c>
      <c r="B11">
        <v>3.2000000000000002</v>
      </c>
    </row>
    <row r="12" ht="14.25">
      <c r="A12" s="4" t="s">
        <v>96</v>
      </c>
      <c r="B12">
        <v>7</v>
      </c>
    </row>
    <row r="15" ht="14.25">
      <c r="A15" t="s">
        <v>97</v>
      </c>
    </row>
    <row r="16" ht="14.25">
      <c r="A16" s="12" t="s">
        <v>98</v>
      </c>
      <c r="B16" s="12">
        <v>150</v>
      </c>
      <c r="C16" t="s">
        <v>19</v>
      </c>
      <c r="D16" t="s">
        <v>99</v>
      </c>
    </row>
    <row r="17" ht="14.25">
      <c r="A17" s="12" t="s">
        <v>100</v>
      </c>
      <c r="B17" s="9">
        <v>150</v>
      </c>
      <c r="C17" t="s">
        <v>19</v>
      </c>
      <c r="D17" t="s">
        <v>99</v>
      </c>
    </row>
    <row r="18" ht="14.25">
      <c r="A18" s="12" t="s">
        <v>101</v>
      </c>
      <c r="B18" s="9">
        <v>150</v>
      </c>
      <c r="C18" t="s">
        <v>19</v>
      </c>
      <c r="D18" t="s">
        <v>99</v>
      </c>
    </row>
    <row r="21" ht="14.25">
      <c r="A21" t="s">
        <v>102</v>
      </c>
    </row>
    <row r="22" ht="14.25">
      <c r="A22" t="s">
        <v>103</v>
      </c>
      <c r="B22">
        <v>750</v>
      </c>
      <c r="C22" t="s">
        <v>38</v>
      </c>
      <c r="D22" t="s">
        <v>104</v>
      </c>
    </row>
    <row r="23" ht="14.25">
      <c r="A23" t="s">
        <v>105</v>
      </c>
      <c r="B23">
        <v>2500</v>
      </c>
      <c r="C23" t="s">
        <v>38</v>
      </c>
      <c r="D23" t="s">
        <v>104</v>
      </c>
    </row>
    <row r="24" ht="14.25">
      <c r="A24" t="s">
        <v>106</v>
      </c>
      <c r="B24">
        <v>5000</v>
      </c>
      <c r="C24" t="s">
        <v>38</v>
      </c>
      <c r="D24" t="s">
        <v>104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5">
      <c r="A1" s="14" t="s">
        <v>107</v>
      </c>
      <c r="B1" s="14" t="s">
        <v>108</v>
      </c>
      <c r="C1" s="14" t="s">
        <v>109</v>
      </c>
      <c r="D1" s="14" t="s">
        <v>2</v>
      </c>
      <c r="E1" s="15" t="s">
        <v>3</v>
      </c>
    </row>
    <row r="2" ht="14.25">
      <c r="A2" s="14" t="s">
        <v>110</v>
      </c>
      <c r="B2" s="16">
        <v>5.5999999999999996</v>
      </c>
      <c r="C2" s="17"/>
      <c r="D2" s="14" t="s">
        <v>111</v>
      </c>
      <c r="E2" s="15" t="s">
        <v>112</v>
      </c>
    </row>
    <row r="3" ht="14.25">
      <c r="A3" s="14"/>
      <c r="B3" s="16"/>
      <c r="C3" s="17"/>
      <c r="D3" s="14"/>
      <c r="E3" s="15"/>
    </row>
    <row r="4" ht="14.25">
      <c r="A4" s="18" t="s">
        <v>113</v>
      </c>
      <c r="B4" s="16"/>
      <c r="C4" s="17"/>
      <c r="D4" s="14"/>
      <c r="E4" s="15"/>
    </row>
    <row r="5" ht="14.25">
      <c r="A5" s="14" t="s">
        <v>114</v>
      </c>
      <c r="B5" s="16">
        <v>2.2000000000000002</v>
      </c>
      <c r="C5" s="17"/>
      <c r="D5" s="14" t="s">
        <v>111</v>
      </c>
      <c r="E5" s="15" t="s">
        <v>115</v>
      </c>
    </row>
    <row r="6" ht="14.25">
      <c r="A6" s="14" t="s">
        <v>116</v>
      </c>
      <c r="B6" s="16">
        <v>1.7</v>
      </c>
      <c r="C6" s="17"/>
      <c r="D6" s="14" t="s">
        <v>111</v>
      </c>
      <c r="E6" s="15" t="s">
        <v>115</v>
      </c>
    </row>
    <row r="7" ht="14.25">
      <c r="A7" s="14" t="s">
        <v>117</v>
      </c>
      <c r="B7" s="16">
        <v>1.7</v>
      </c>
      <c r="C7" s="17"/>
      <c r="D7" s="14" t="s">
        <v>111</v>
      </c>
      <c r="E7" s="15" t="s">
        <v>118</v>
      </c>
    </row>
    <row r="8" ht="14.25">
      <c r="A8" s="14"/>
      <c r="B8" s="16"/>
      <c r="C8" s="17"/>
      <c r="D8" s="14"/>
      <c r="E8" s="15"/>
    </row>
    <row r="9" ht="14.25">
      <c r="A9" s="18" t="s">
        <v>119</v>
      </c>
      <c r="B9" s="16"/>
      <c r="C9" s="17"/>
      <c r="D9" s="14"/>
      <c r="E9" s="15"/>
    </row>
    <row r="10" ht="14.25">
      <c r="A10" s="14" t="s">
        <v>120</v>
      </c>
      <c r="B10" s="17"/>
      <c r="C10" s="16">
        <v>-0.20000000000000001</v>
      </c>
      <c r="D10" s="14" t="s">
        <v>111</v>
      </c>
      <c r="E10" s="15" t="s">
        <v>121</v>
      </c>
    </row>
    <row r="11" ht="14.25">
      <c r="A11" s="14" t="s">
        <v>122</v>
      </c>
      <c r="B11" s="17"/>
      <c r="C11" s="16">
        <v>-0.10000000000000001</v>
      </c>
      <c r="D11" s="14" t="s">
        <v>111</v>
      </c>
      <c r="E11" s="15" t="s">
        <v>121</v>
      </c>
    </row>
    <row r="12" ht="14.25">
      <c r="A12" s="14"/>
      <c r="B12" s="17"/>
      <c r="C12" s="16"/>
      <c r="D12" s="14"/>
      <c r="E12" s="15"/>
    </row>
    <row r="13" ht="14.25">
      <c r="A13" s="14" t="s">
        <v>123</v>
      </c>
      <c r="B13" s="17"/>
      <c r="C13" s="16">
        <v>-0.12</v>
      </c>
      <c r="D13" s="14" t="s">
        <v>111</v>
      </c>
      <c r="E13" s="15" t="s">
        <v>124</v>
      </c>
    </row>
    <row r="14" ht="14.25">
      <c r="A14" s="14" t="s">
        <v>125</v>
      </c>
      <c r="B14" s="17"/>
      <c r="C14" s="16">
        <v>-5.9999999999999998e-002</v>
      </c>
      <c r="D14" s="14" t="s">
        <v>111</v>
      </c>
      <c r="E14" s="15" t="s">
        <v>124</v>
      </c>
    </row>
    <row r="15" ht="14.25">
      <c r="A15" s="14"/>
      <c r="B15" s="17"/>
      <c r="C15" s="16"/>
      <c r="D15" s="14"/>
      <c r="E15" s="15"/>
    </row>
    <row r="16" ht="14.25">
      <c r="A16" s="14" t="s">
        <v>126</v>
      </c>
      <c r="B16" s="17"/>
      <c r="C16" s="16">
        <v>-0.14999999999999999</v>
      </c>
      <c r="D16" s="14" t="s">
        <v>111</v>
      </c>
      <c r="E16" s="15" t="s">
        <v>127</v>
      </c>
    </row>
    <row r="17" ht="14.25">
      <c r="A17" s="14" t="s">
        <v>128</v>
      </c>
      <c r="B17" s="17"/>
      <c r="C17" s="16">
        <v>-7.0000000000000007e-002</v>
      </c>
      <c r="D17" s="14" t="s">
        <v>111</v>
      </c>
      <c r="E17" s="15" t="s">
        <v>127</v>
      </c>
    </row>
    <row r="18" ht="14.25">
      <c r="A18" s="14"/>
      <c r="B18" s="17"/>
      <c r="C18" s="16"/>
      <c r="D18" s="14"/>
      <c r="E18" s="15"/>
    </row>
    <row r="19" ht="14.25">
      <c r="A19" s="14" t="s">
        <v>129</v>
      </c>
      <c r="B19" s="17"/>
      <c r="C19" s="16">
        <v>-0.20999999999999999</v>
      </c>
      <c r="D19" s="14" t="s">
        <v>111</v>
      </c>
      <c r="E19" s="15" t="s">
        <v>130</v>
      </c>
    </row>
    <row r="20" ht="14.25">
      <c r="A20" s="14" t="s">
        <v>131</v>
      </c>
      <c r="B20" s="17"/>
      <c r="C20" s="16">
        <v>-0.10000000000000001</v>
      </c>
      <c r="D20" s="14" t="s">
        <v>111</v>
      </c>
      <c r="E20" s="15" t="s">
        <v>130</v>
      </c>
    </row>
    <row r="21" ht="14.25">
      <c r="A21" s="14"/>
      <c r="B21" s="17"/>
      <c r="C21" s="16"/>
      <c r="D21" s="14"/>
      <c r="E21" s="15"/>
    </row>
    <row r="22" ht="14.25">
      <c r="A22" s="14" t="s">
        <v>132</v>
      </c>
      <c r="B22" s="17"/>
      <c r="C22" s="16">
        <v>-8.9999999999999997e-002</v>
      </c>
      <c r="D22" s="14" t="s">
        <v>111</v>
      </c>
      <c r="E22" s="15" t="s">
        <v>133</v>
      </c>
    </row>
    <row r="23" ht="14.25">
      <c r="A23" s="14" t="s">
        <v>134</v>
      </c>
      <c r="B23" s="17"/>
      <c r="C23" s="16">
        <v>-5.0000000000000003e-002</v>
      </c>
      <c r="D23" s="14" t="s">
        <v>111</v>
      </c>
      <c r="E23" s="15" t="s">
        <v>133</v>
      </c>
    </row>
    <row r="24" ht="14.25">
      <c r="A24" s="14"/>
      <c r="B24" s="17"/>
      <c r="C24" s="16"/>
      <c r="D24" s="14"/>
      <c r="E24" s="15"/>
    </row>
    <row r="25" ht="14.25">
      <c r="A25" s="14" t="s">
        <v>135</v>
      </c>
      <c r="B25" s="17"/>
      <c r="C25" s="16">
        <v>1.e-002</v>
      </c>
      <c r="D25" s="14" t="s">
        <v>111</v>
      </c>
      <c r="E25" s="15" t="s">
        <v>136</v>
      </c>
    </row>
    <row r="26" ht="14.25">
      <c r="A26" s="14" t="s">
        <v>137</v>
      </c>
      <c r="B26" s="17"/>
      <c r="C26" s="16">
        <v>5.0000000000000001e-003</v>
      </c>
      <c r="D26" s="14" t="s">
        <v>111</v>
      </c>
      <c r="E26" s="15" t="s">
        <v>136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2026-03-01T10:34:13Z</dcterms:modified>
</cp:coreProperties>
</file>